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xlz1\Downloads\ATI-Grocery-List-main\ATI-Grocery-List-main\"/>
    </mc:Choice>
  </mc:AlternateContent>
  <xr:revisionPtr revIDLastSave="0" documentId="13_ncr:1_{C306D10F-D52A-4E3F-A89F-D1F05D0F7F94}" xr6:coauthVersionLast="47" xr6:coauthVersionMax="47" xr10:uidLastSave="{00000000-0000-0000-0000-000000000000}"/>
  <bookViews>
    <workbookView xWindow="57480" yWindow="-120" windowWidth="29040" windowHeight="15720" xr2:uid="{A4C69D7D-69AF-42A9-AF5F-55EF7AC85E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8" i="1" l="1"/>
  <c r="R22" i="1"/>
  <c r="R24" i="1"/>
  <c r="R26" i="1"/>
  <c r="R19" i="1"/>
  <c r="R20" i="1"/>
  <c r="R21" i="1"/>
  <c r="S36" i="1"/>
  <c r="O36" i="1"/>
  <c r="R36" i="1" s="1"/>
  <c r="S35" i="1"/>
  <c r="R35" i="1"/>
  <c r="S34" i="1"/>
  <c r="O34" i="1"/>
  <c r="R34" i="1" s="1"/>
  <c r="S33" i="1"/>
  <c r="R33" i="1"/>
  <c r="S32" i="1"/>
  <c r="R32" i="1"/>
  <c r="S31" i="1"/>
  <c r="O31" i="1"/>
  <c r="R31" i="1" s="1"/>
  <c r="S30" i="1"/>
  <c r="O30" i="1"/>
  <c r="R30" i="1" s="1"/>
  <c r="S29" i="1"/>
  <c r="O29" i="1"/>
  <c r="R29" i="1" s="1"/>
  <c r="S28" i="1"/>
  <c r="O28" i="1"/>
  <c r="R28" i="1" s="1"/>
  <c r="S27" i="1"/>
  <c r="O27" i="1"/>
  <c r="R27" i="1" s="1"/>
  <c r="S26" i="1"/>
  <c r="S25" i="1"/>
  <c r="R25" i="1"/>
  <c r="S24" i="1"/>
  <c r="S23" i="1"/>
  <c r="R23" i="1"/>
  <c r="S22" i="1"/>
  <c r="S21" i="1"/>
  <c r="S20" i="1"/>
  <c r="S19" i="1"/>
  <c r="S18" i="1"/>
  <c r="S17" i="1"/>
  <c r="R17" i="1"/>
  <c r="S16" i="1"/>
  <c r="R16" i="1"/>
  <c r="S15" i="1"/>
  <c r="R15" i="1"/>
  <c r="S14" i="1"/>
  <c r="R14" i="1"/>
  <c r="S13" i="1"/>
  <c r="R13" i="1"/>
  <c r="S12" i="1"/>
  <c r="O12" i="1"/>
  <c r="R12" i="1" s="1"/>
  <c r="S11" i="1"/>
  <c r="R11" i="1"/>
  <c r="S10" i="1"/>
  <c r="R10" i="1"/>
  <c r="O10" i="1"/>
  <c r="S9" i="1"/>
  <c r="R9" i="1"/>
  <c r="S8" i="1"/>
  <c r="O8" i="1"/>
  <c r="R8" i="1" s="1"/>
  <c r="S7" i="1"/>
  <c r="O7" i="1"/>
  <c r="R7" i="1" s="1"/>
  <c r="S6" i="1"/>
  <c r="R6" i="1"/>
  <c r="S5" i="1"/>
  <c r="R5" i="1"/>
  <c r="S4" i="1"/>
  <c r="O4" i="1"/>
  <c r="R4" i="1" s="1"/>
  <c r="S3" i="1"/>
  <c r="R3" i="1"/>
  <c r="S2" i="1"/>
  <c r="O2" i="1"/>
  <c r="R2" i="1" s="1"/>
</calcChain>
</file>

<file path=xl/sharedStrings.xml><?xml version="1.0" encoding="utf-8"?>
<sst xmlns="http://schemas.openxmlformats.org/spreadsheetml/2006/main" count="312" uniqueCount="112">
  <si>
    <t>Material</t>
  </si>
  <si>
    <t>SLOC</t>
  </si>
  <si>
    <t>Route</t>
  </si>
  <si>
    <t>Material Description</t>
  </si>
  <si>
    <t>Vendor</t>
  </si>
  <si>
    <t>Fab, Assembly, TCA, or Mod Center</t>
  </si>
  <si>
    <t>MRP Cnt</t>
  </si>
  <si>
    <t>POU Stores</t>
  </si>
  <si>
    <t>Container</t>
  </si>
  <si>
    <t>Std Pack Qty</t>
  </si>
  <si>
    <t>BOM Qty</t>
  </si>
  <si>
    <t>Units per Container</t>
  </si>
  <si>
    <t>SOS Fab Rate</t>
  </si>
  <si>
    <t>Pieces per Hour</t>
  </si>
  <si>
    <t># of Containers for 16 hrs of Material</t>
  </si>
  <si>
    <t>On Hand</t>
  </si>
  <si>
    <t>Order</t>
  </si>
  <si>
    <t>Ryder Pull</t>
  </si>
  <si>
    <t>Hours of Material on Hand</t>
  </si>
  <si>
    <t>12L036</t>
  </si>
  <si>
    <t>Fab West</t>
  </si>
  <si>
    <t>BLANK-SHAFT, OUTPUT</t>
  </si>
  <si>
    <t>A1129</t>
  </si>
  <si>
    <t>Fab</t>
  </si>
  <si>
    <t>121</t>
  </si>
  <si>
    <t>S026 HT</t>
  </si>
  <si>
    <t>SA568</t>
  </si>
  <si>
    <t>Fab East</t>
  </si>
  <si>
    <t>HUB-DRIVE</t>
  </si>
  <si>
    <t>L685</t>
  </si>
  <si>
    <t>123</t>
  </si>
  <si>
    <t>U052</t>
  </si>
  <si>
    <t>GM5332</t>
  </si>
  <si>
    <t>BLANK-CARRIER, P1</t>
  </si>
  <si>
    <t>L169</t>
  </si>
  <si>
    <t>126</t>
  </si>
  <si>
    <t>K08</t>
  </si>
  <si>
    <t>GM5348</t>
  </si>
  <si>
    <t>98</t>
  </si>
  <si>
    <t>BLANK-CARRIER, P2, CR</t>
  </si>
  <si>
    <t>P026</t>
  </si>
  <si>
    <t>105</t>
  </si>
  <si>
    <t>BLANK-CARRIER, P2, WR</t>
  </si>
  <si>
    <t>BLANK-CARRIER, P3, CR</t>
  </si>
  <si>
    <t>BLANK-CARRIER, P4</t>
  </si>
  <si>
    <t>K07</t>
  </si>
  <si>
    <t>MD PTO</t>
  </si>
  <si>
    <t>M0162</t>
  </si>
  <si>
    <t>S054</t>
  </si>
  <si>
    <t>BLANK-CARRIER, P3, WR</t>
  </si>
  <si>
    <t>Assembly</t>
  </si>
  <si>
    <t>HOUSING-PUMP, PTO</t>
  </si>
  <si>
    <t>114</t>
  </si>
  <si>
    <t>BLANK - SHAFT, TURBINE (PTO)</t>
  </si>
  <si>
    <t>M0407</t>
  </si>
  <si>
    <t>BLANK-CARRIER, P3, WR, RET</t>
  </si>
  <si>
    <t>K05</t>
  </si>
  <si>
    <t>BU</t>
  </si>
  <si>
    <t>FLEXPLATE-ADAPTER</t>
  </si>
  <si>
    <t>Q081</t>
  </si>
  <si>
    <t>122</t>
  </si>
  <si>
    <t>L036 M27</t>
  </si>
  <si>
    <t>GM5320</t>
  </si>
  <si>
    <t>106</t>
  </si>
  <si>
    <t>YOKE ASSEMBLY-OUTPUT, (1810 HALF ROUND)</t>
  </si>
  <si>
    <t>D0229</t>
  </si>
  <si>
    <t>DANA 323034 BULK</t>
  </si>
  <si>
    <t>113</t>
  </si>
  <si>
    <t>ADAPTER-FLEXPLATE</t>
  </si>
  <si>
    <t>W150</t>
  </si>
  <si>
    <t>YOKE ASSY-OUTPUT,1810 ( HALF ROUND)</t>
  </si>
  <si>
    <t>H0316</t>
  </si>
  <si>
    <t>L036 M28</t>
  </si>
  <si>
    <t>12K034</t>
  </si>
  <si>
    <t>HOUSING-STATOR</t>
  </si>
  <si>
    <t>D0393</t>
  </si>
  <si>
    <t>103</t>
  </si>
  <si>
    <t>YOKE ASSEMBLY-OUTPUT,SPL250 (HALF ROUND)</t>
  </si>
  <si>
    <t>COVER-REAR</t>
  </si>
  <si>
    <t>L036 M29</t>
  </si>
  <si>
    <t>COVER ASSY-REAR &amp; PLUG</t>
  </si>
  <si>
    <t>HOUSING-COOLER, OIL</t>
  </si>
  <si>
    <t>35</t>
  </si>
  <si>
    <t>PLATE ASSY-BACKING&amp;PLUG,C3</t>
  </si>
  <si>
    <t>ADAPTER ASSEMBLY-HOUSING</t>
  </si>
  <si>
    <t>100</t>
  </si>
  <si>
    <t>HUB,PTO DRIVE</t>
  </si>
  <si>
    <t>FLANGE-ROTATING CL</t>
  </si>
  <si>
    <t>S371</t>
  </si>
  <si>
    <t>LANK-GEAR, PINION, P1</t>
  </si>
  <si>
    <t>R9130</t>
  </si>
  <si>
    <t>T024</t>
  </si>
  <si>
    <t>517</t>
  </si>
  <si>
    <t>BLANK-GEAR, PINION, P3CR</t>
  </si>
  <si>
    <t>Q020</t>
  </si>
  <si>
    <t>430</t>
  </si>
  <si>
    <t>BLANK-GEAR, PINION, P3WR</t>
  </si>
  <si>
    <t>347</t>
  </si>
  <si>
    <t>BLANK-GEAR, PINION, P4</t>
  </si>
  <si>
    <t>T020</t>
  </si>
  <si>
    <t>378</t>
  </si>
  <si>
    <t>BLANK-GEAR, SUN, P1</t>
  </si>
  <si>
    <t>U020</t>
  </si>
  <si>
    <t>425</t>
  </si>
  <si>
    <t>BLANK-GEAR, SUN, P2CR</t>
  </si>
  <si>
    <t>242</t>
  </si>
  <si>
    <t>BLANK-GEAR, SUN, P2WR</t>
  </si>
  <si>
    <t>276</t>
  </si>
  <si>
    <t>BLANK-GEAR, SUN, P3CR</t>
  </si>
  <si>
    <t>237</t>
  </si>
  <si>
    <t>BLANK-GEAR, SUN, P4</t>
  </si>
  <si>
    <t>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</si>
</sst>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7" xfId="0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860000"/>
      </font>
      <fill>
        <patternFill>
          <bgColor rgb="FFFF8989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EA44-EBB9-4EE9-BDF5-F029CB329C85}">
  <dimension ref="A1:S36"/>
  <sheetViews>
    <sheetView tabSelected="1" topLeftCell="A5" workbookViewId="0">
      <selection activeCell="Y10" sqref="Y10"/>
    </sheetView>
  </sheetViews>
  <sheetFormatPr defaultRowHeight="15" x14ac:dyDescent="0.25"/>
  <sheetData>
    <row r="1" spans="1:19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5" t="s">
        <v>18</v>
      </c>
    </row>
    <row r="2" spans="1:19" ht="15.75" thickBot="1" x14ac:dyDescent="0.3">
      <c r="A2" s="6">
        <v>50036</v>
      </c>
      <c r="B2" s="7" t="s">
        <v>19</v>
      </c>
      <c r="C2" s="7" t="s">
        <v>20</v>
      </c>
      <c r="D2" s="8" t="s">
        <v>21</v>
      </c>
      <c r="E2" s="6" t="s">
        <v>22</v>
      </c>
      <c r="F2" s="8" t="s">
        <v>23</v>
      </c>
      <c r="G2" s="8" t="s">
        <v>24</v>
      </c>
      <c r="H2" s="8" t="s">
        <v>25</v>
      </c>
      <c r="I2" s="6" t="s">
        <v>26</v>
      </c>
      <c r="J2" s="6">
        <v>211</v>
      </c>
      <c r="K2" s="6">
        <v>1</v>
      </c>
      <c r="L2" s="6">
        <v>211</v>
      </c>
      <c r="M2" s="6">
        <v>240</v>
      </c>
      <c r="N2" s="6">
        <v>21</v>
      </c>
      <c r="O2" s="9">
        <f>ROUNDUP((M2*2)/J2,0)</f>
        <v>3</v>
      </c>
      <c r="P2" s="10">
        <v>3</v>
      </c>
      <c r="Q2" s="10">
        <v>3</v>
      </c>
      <c r="R2" s="11">
        <f t="shared" ref="R2:R36" si="0">IF(O2-P2&lt;0,0,O2-P2)+Q2</f>
        <v>3</v>
      </c>
      <c r="S2" s="12">
        <f t="shared" ref="S2:S36" si="1">ROUNDDOWN(((L2*P2)/N2),0)</f>
        <v>30</v>
      </c>
    </row>
    <row r="3" spans="1:19" ht="15.75" thickBot="1" x14ac:dyDescent="0.3">
      <c r="A3" s="6">
        <v>50257</v>
      </c>
      <c r="B3" s="7" t="s">
        <v>19</v>
      </c>
      <c r="C3" s="7" t="s">
        <v>27</v>
      </c>
      <c r="D3" s="8" t="s">
        <v>28</v>
      </c>
      <c r="E3" s="8" t="s">
        <v>29</v>
      </c>
      <c r="F3" s="8" t="s">
        <v>23</v>
      </c>
      <c r="G3" s="6" t="s">
        <v>30</v>
      </c>
      <c r="H3" s="7" t="s">
        <v>31</v>
      </c>
      <c r="I3" s="7" t="s">
        <v>32</v>
      </c>
      <c r="J3" s="8">
        <v>30</v>
      </c>
      <c r="K3" s="8">
        <v>1</v>
      </c>
      <c r="L3" s="8">
        <v>30</v>
      </c>
      <c r="M3" s="6">
        <v>130</v>
      </c>
      <c r="N3" s="6">
        <v>19</v>
      </c>
      <c r="O3" s="9">
        <v>11</v>
      </c>
      <c r="P3" s="10">
        <v>17</v>
      </c>
      <c r="Q3" s="13">
        <v>0</v>
      </c>
      <c r="R3" s="11">
        <f t="shared" si="0"/>
        <v>0</v>
      </c>
      <c r="S3" s="12">
        <f t="shared" si="1"/>
        <v>26</v>
      </c>
    </row>
    <row r="4" spans="1:19" ht="15.75" thickBot="1" x14ac:dyDescent="0.3">
      <c r="A4" s="14">
        <v>50258</v>
      </c>
      <c r="B4" s="15" t="s">
        <v>19</v>
      </c>
      <c r="C4" s="15" t="s">
        <v>20</v>
      </c>
      <c r="D4" s="16" t="s">
        <v>33</v>
      </c>
      <c r="E4" s="16" t="s">
        <v>34</v>
      </c>
      <c r="F4" s="16" t="s">
        <v>23</v>
      </c>
      <c r="G4" s="14" t="s">
        <v>35</v>
      </c>
      <c r="H4" s="15" t="s">
        <v>36</v>
      </c>
      <c r="I4" s="15" t="s">
        <v>37</v>
      </c>
      <c r="J4" s="16">
        <v>70</v>
      </c>
      <c r="K4" s="16">
        <v>1</v>
      </c>
      <c r="L4" s="16">
        <v>70</v>
      </c>
      <c r="M4" s="6" t="s">
        <v>38</v>
      </c>
      <c r="N4" s="6">
        <v>14</v>
      </c>
      <c r="O4" s="9">
        <f t="shared" ref="O4:O12" si="2">ROUNDUP((M4*2)/J4,0)</f>
        <v>3</v>
      </c>
      <c r="P4" s="10">
        <v>8</v>
      </c>
      <c r="Q4" s="13">
        <v>1</v>
      </c>
      <c r="R4" s="11">
        <f t="shared" si="0"/>
        <v>1</v>
      </c>
      <c r="S4" s="12">
        <f t="shared" si="1"/>
        <v>40</v>
      </c>
    </row>
    <row r="5" spans="1:19" ht="15.75" thickBot="1" x14ac:dyDescent="0.3">
      <c r="A5" s="6">
        <v>50259</v>
      </c>
      <c r="B5" s="7" t="s">
        <v>19</v>
      </c>
      <c r="C5" s="7" t="s">
        <v>20</v>
      </c>
      <c r="D5" s="8" t="s">
        <v>39</v>
      </c>
      <c r="E5" s="8" t="s">
        <v>34</v>
      </c>
      <c r="F5" s="8" t="s">
        <v>23</v>
      </c>
      <c r="G5" s="6" t="s">
        <v>35</v>
      </c>
      <c r="H5" s="7" t="s">
        <v>40</v>
      </c>
      <c r="I5" s="7" t="s">
        <v>37</v>
      </c>
      <c r="J5" s="8">
        <v>50</v>
      </c>
      <c r="K5" s="8">
        <v>1</v>
      </c>
      <c r="L5" s="8">
        <v>50</v>
      </c>
      <c r="M5" s="6" t="s">
        <v>41</v>
      </c>
      <c r="N5" s="6">
        <v>15</v>
      </c>
      <c r="O5" s="9">
        <v>6</v>
      </c>
      <c r="P5" s="10">
        <v>6</v>
      </c>
      <c r="Q5" s="13">
        <v>0</v>
      </c>
      <c r="R5" s="11">
        <f t="shared" si="0"/>
        <v>0</v>
      </c>
      <c r="S5" s="12">
        <f t="shared" si="1"/>
        <v>20</v>
      </c>
    </row>
    <row r="6" spans="1:19" ht="15.75" thickBot="1" x14ac:dyDescent="0.3">
      <c r="A6" s="14">
        <v>50260</v>
      </c>
      <c r="B6" s="15" t="s">
        <v>19</v>
      </c>
      <c r="C6" s="15" t="s">
        <v>20</v>
      </c>
      <c r="D6" s="16" t="s">
        <v>42</v>
      </c>
      <c r="E6" s="16" t="s">
        <v>34</v>
      </c>
      <c r="F6" s="16" t="s">
        <v>23</v>
      </c>
      <c r="G6" s="14" t="s">
        <v>35</v>
      </c>
      <c r="H6" s="15" t="s">
        <v>40</v>
      </c>
      <c r="I6" s="15" t="s">
        <v>37</v>
      </c>
      <c r="J6" s="16">
        <v>50</v>
      </c>
      <c r="K6" s="16">
        <v>1</v>
      </c>
      <c r="L6" s="16">
        <v>50</v>
      </c>
      <c r="M6" s="6" t="s">
        <v>41</v>
      </c>
      <c r="N6" s="6">
        <v>15</v>
      </c>
      <c r="O6" s="9">
        <v>6</v>
      </c>
      <c r="P6" s="10">
        <v>5</v>
      </c>
      <c r="Q6" s="13">
        <v>1</v>
      </c>
      <c r="R6" s="11">
        <f t="shared" si="0"/>
        <v>2</v>
      </c>
      <c r="S6" s="12">
        <f t="shared" si="1"/>
        <v>16</v>
      </c>
    </row>
    <row r="7" spans="1:19" ht="15.75" thickBot="1" x14ac:dyDescent="0.3">
      <c r="A7" s="6">
        <v>50261</v>
      </c>
      <c r="B7" s="7" t="s">
        <v>19</v>
      </c>
      <c r="C7" s="7" t="s">
        <v>20</v>
      </c>
      <c r="D7" s="8" t="s">
        <v>43</v>
      </c>
      <c r="E7" s="8" t="s">
        <v>34</v>
      </c>
      <c r="F7" s="8" t="s">
        <v>23</v>
      </c>
      <c r="G7" s="6" t="s">
        <v>35</v>
      </c>
      <c r="H7" s="7" t="s">
        <v>40</v>
      </c>
      <c r="I7" s="7" t="s">
        <v>37</v>
      </c>
      <c r="J7" s="8">
        <v>40</v>
      </c>
      <c r="K7" s="8">
        <v>1</v>
      </c>
      <c r="L7" s="8">
        <v>40</v>
      </c>
      <c r="M7" s="6">
        <v>120</v>
      </c>
      <c r="N7" s="6">
        <v>180</v>
      </c>
      <c r="O7" s="9">
        <f t="shared" si="2"/>
        <v>6</v>
      </c>
      <c r="P7" s="10">
        <v>7</v>
      </c>
      <c r="Q7" s="13">
        <v>0</v>
      </c>
      <c r="R7" s="11">
        <f t="shared" si="0"/>
        <v>0</v>
      </c>
      <c r="S7" s="12">
        <f t="shared" si="1"/>
        <v>1</v>
      </c>
    </row>
    <row r="8" spans="1:19" ht="15.75" thickBot="1" x14ac:dyDescent="0.3">
      <c r="A8" s="14">
        <v>50262</v>
      </c>
      <c r="B8" s="15" t="s">
        <v>19</v>
      </c>
      <c r="C8" s="15" t="s">
        <v>20</v>
      </c>
      <c r="D8" s="16" t="s">
        <v>44</v>
      </c>
      <c r="E8" s="16" t="s">
        <v>34</v>
      </c>
      <c r="F8" s="16" t="s">
        <v>23</v>
      </c>
      <c r="G8" s="14" t="s">
        <v>35</v>
      </c>
      <c r="H8" s="15" t="s">
        <v>45</v>
      </c>
      <c r="I8" s="15" t="s">
        <v>37</v>
      </c>
      <c r="J8" s="16">
        <v>60</v>
      </c>
      <c r="K8" s="16">
        <v>1</v>
      </c>
      <c r="L8" s="16">
        <v>60</v>
      </c>
      <c r="M8" s="6">
        <v>60</v>
      </c>
      <c r="N8" s="6">
        <v>8</v>
      </c>
      <c r="O8" s="9">
        <f t="shared" si="2"/>
        <v>2</v>
      </c>
      <c r="P8" s="10">
        <v>3</v>
      </c>
      <c r="Q8" s="13">
        <v>3</v>
      </c>
      <c r="R8" s="11">
        <f t="shared" si="0"/>
        <v>3</v>
      </c>
      <c r="S8" s="12">
        <f t="shared" si="1"/>
        <v>22</v>
      </c>
    </row>
    <row r="9" spans="1:19" ht="15.75" thickBot="1" x14ac:dyDescent="0.3">
      <c r="A9" s="6">
        <v>50263</v>
      </c>
      <c r="B9" s="7" t="s">
        <v>19</v>
      </c>
      <c r="C9" s="7" t="s">
        <v>27</v>
      </c>
      <c r="D9" s="8" t="s">
        <v>46</v>
      </c>
      <c r="E9" s="8" t="s">
        <v>47</v>
      </c>
      <c r="F9" s="8" t="s">
        <v>23</v>
      </c>
      <c r="G9" s="6" t="s">
        <v>24</v>
      </c>
      <c r="H9" s="7" t="s">
        <v>48</v>
      </c>
      <c r="I9" s="7" t="s">
        <v>32</v>
      </c>
      <c r="J9" s="8">
        <v>42</v>
      </c>
      <c r="K9" s="8">
        <v>1</v>
      </c>
      <c r="L9" s="8">
        <v>42</v>
      </c>
      <c r="M9" s="6">
        <v>186</v>
      </c>
      <c r="N9" s="6">
        <v>28</v>
      </c>
      <c r="O9" s="9">
        <v>8</v>
      </c>
      <c r="P9" s="10">
        <v>5</v>
      </c>
      <c r="Q9" s="13">
        <v>0</v>
      </c>
      <c r="R9" s="11">
        <f t="shared" si="0"/>
        <v>3</v>
      </c>
      <c r="S9" s="12">
        <f t="shared" si="1"/>
        <v>7</v>
      </c>
    </row>
    <row r="10" spans="1:19" ht="15.75" thickBot="1" x14ac:dyDescent="0.3">
      <c r="A10" s="6">
        <v>50267</v>
      </c>
      <c r="B10" s="7" t="s">
        <v>19</v>
      </c>
      <c r="C10" s="7" t="s">
        <v>20</v>
      </c>
      <c r="D10" s="8" t="s">
        <v>49</v>
      </c>
      <c r="E10" s="8" t="s">
        <v>34</v>
      </c>
      <c r="F10" s="8" t="s">
        <v>23</v>
      </c>
      <c r="G10" s="6" t="s">
        <v>35</v>
      </c>
      <c r="H10" s="7" t="s">
        <v>40</v>
      </c>
      <c r="I10" s="7" t="s">
        <v>37</v>
      </c>
      <c r="J10" s="8">
        <v>40</v>
      </c>
      <c r="K10" s="8">
        <v>1</v>
      </c>
      <c r="L10" s="8">
        <v>40</v>
      </c>
      <c r="M10" s="6">
        <v>120</v>
      </c>
      <c r="N10" s="6">
        <v>18</v>
      </c>
      <c r="O10" s="9">
        <f t="shared" si="2"/>
        <v>6</v>
      </c>
      <c r="P10" s="10">
        <v>0</v>
      </c>
      <c r="Q10" s="13">
        <v>3</v>
      </c>
      <c r="R10" s="11">
        <f t="shared" si="0"/>
        <v>9</v>
      </c>
      <c r="S10" s="12">
        <f t="shared" si="1"/>
        <v>0</v>
      </c>
    </row>
    <row r="11" spans="1:19" ht="15.75" thickBot="1" x14ac:dyDescent="0.3">
      <c r="A11" s="14">
        <v>29505699</v>
      </c>
      <c r="B11" s="15" t="s">
        <v>19</v>
      </c>
      <c r="C11" s="15" t="s">
        <v>50</v>
      </c>
      <c r="D11" s="16" t="s">
        <v>51</v>
      </c>
      <c r="E11" s="16" t="s">
        <v>34</v>
      </c>
      <c r="F11" s="16" t="s">
        <v>50</v>
      </c>
      <c r="G11" s="14" t="s">
        <v>35</v>
      </c>
      <c r="H11" s="15"/>
      <c r="I11" s="15" t="s">
        <v>32</v>
      </c>
      <c r="J11" s="16">
        <v>108</v>
      </c>
      <c r="K11" s="16">
        <v>1</v>
      </c>
      <c r="L11" s="16">
        <v>108</v>
      </c>
      <c r="M11" s="6" t="s">
        <v>52</v>
      </c>
      <c r="N11" s="6">
        <v>14</v>
      </c>
      <c r="O11" s="9">
        <v>2</v>
      </c>
      <c r="P11" s="17">
        <v>3</v>
      </c>
      <c r="Q11" s="13">
        <v>7</v>
      </c>
      <c r="R11" s="11">
        <f t="shared" si="0"/>
        <v>7</v>
      </c>
      <c r="S11" s="12">
        <f t="shared" si="1"/>
        <v>23</v>
      </c>
    </row>
    <row r="12" spans="1:19" ht="15.75" thickBot="1" x14ac:dyDescent="0.3">
      <c r="A12" s="6">
        <v>50268</v>
      </c>
      <c r="B12" s="7" t="s">
        <v>19</v>
      </c>
      <c r="C12" s="7" t="s">
        <v>27</v>
      </c>
      <c r="D12" s="8" t="s">
        <v>28</v>
      </c>
      <c r="E12" s="8" t="s">
        <v>29</v>
      </c>
      <c r="F12" s="8" t="s">
        <v>23</v>
      </c>
      <c r="G12" s="6" t="s">
        <v>30</v>
      </c>
      <c r="H12" s="7" t="s">
        <v>31</v>
      </c>
      <c r="I12" s="7" t="s">
        <v>32</v>
      </c>
      <c r="J12" s="8">
        <v>56</v>
      </c>
      <c r="K12" s="8">
        <v>1</v>
      </c>
      <c r="L12" s="8">
        <v>56</v>
      </c>
      <c r="M12" s="6">
        <v>130</v>
      </c>
      <c r="N12" s="6">
        <v>19</v>
      </c>
      <c r="O12" s="9">
        <f t="shared" si="2"/>
        <v>5</v>
      </c>
      <c r="P12" s="10">
        <v>4</v>
      </c>
      <c r="Q12" s="13">
        <v>7</v>
      </c>
      <c r="R12" s="11">
        <f t="shared" si="0"/>
        <v>8</v>
      </c>
      <c r="S12" s="12">
        <f t="shared" si="1"/>
        <v>11</v>
      </c>
    </row>
    <row r="13" spans="1:19" ht="15.75" thickBot="1" x14ac:dyDescent="0.3">
      <c r="A13" s="6">
        <v>50276</v>
      </c>
      <c r="B13" s="7" t="s">
        <v>19</v>
      </c>
      <c r="C13" s="7" t="s">
        <v>20</v>
      </c>
      <c r="D13" s="8" t="s">
        <v>53</v>
      </c>
      <c r="E13" s="8" t="s">
        <v>54</v>
      </c>
      <c r="F13" s="8" t="s">
        <v>23</v>
      </c>
      <c r="G13" s="6" t="s">
        <v>24</v>
      </c>
      <c r="H13" s="7" t="s">
        <v>25</v>
      </c>
      <c r="I13" s="7" t="s">
        <v>26</v>
      </c>
      <c r="J13" s="8">
        <v>88</v>
      </c>
      <c r="K13" s="8">
        <v>1</v>
      </c>
      <c r="L13" s="8">
        <v>88</v>
      </c>
      <c r="M13" s="6">
        <v>220</v>
      </c>
      <c r="N13" s="6">
        <v>32</v>
      </c>
      <c r="O13" s="9">
        <v>4</v>
      </c>
      <c r="P13" s="10">
        <v>6</v>
      </c>
      <c r="Q13" s="13">
        <v>0</v>
      </c>
      <c r="R13" s="11">
        <f t="shared" si="0"/>
        <v>0</v>
      </c>
      <c r="S13" s="12">
        <f t="shared" si="1"/>
        <v>16</v>
      </c>
    </row>
    <row r="14" spans="1:19" ht="15.75" thickBot="1" x14ac:dyDescent="0.3">
      <c r="A14" s="6">
        <v>50283</v>
      </c>
      <c r="B14" s="7" t="s">
        <v>19</v>
      </c>
      <c r="C14" s="7" t="s">
        <v>20</v>
      </c>
      <c r="D14" s="8" t="s">
        <v>55</v>
      </c>
      <c r="E14" s="6" t="s">
        <v>34</v>
      </c>
      <c r="F14" s="7" t="s">
        <v>23</v>
      </c>
      <c r="G14" s="6" t="s">
        <v>35</v>
      </c>
      <c r="H14" s="7" t="s">
        <v>56</v>
      </c>
      <c r="I14" s="7" t="s">
        <v>37</v>
      </c>
      <c r="J14" s="8">
        <v>40</v>
      </c>
      <c r="K14" s="6">
        <v>1</v>
      </c>
      <c r="L14" s="7">
        <v>40</v>
      </c>
      <c r="M14" s="6">
        <v>120</v>
      </c>
      <c r="N14" s="6">
        <v>13</v>
      </c>
      <c r="O14" s="9">
        <v>4</v>
      </c>
      <c r="P14" s="10">
        <v>5</v>
      </c>
      <c r="Q14" s="13">
        <v>0</v>
      </c>
      <c r="R14" s="11">
        <f t="shared" si="0"/>
        <v>0</v>
      </c>
      <c r="S14" s="12">
        <f t="shared" si="1"/>
        <v>15</v>
      </c>
    </row>
    <row r="15" spans="1:19" ht="15.75" thickBot="1" x14ac:dyDescent="0.3">
      <c r="A15" s="14">
        <v>29537246</v>
      </c>
      <c r="B15" s="15" t="s">
        <v>19</v>
      </c>
      <c r="C15" s="15" t="s">
        <v>57</v>
      </c>
      <c r="D15" s="16" t="s">
        <v>58</v>
      </c>
      <c r="E15" s="6" t="s">
        <v>59</v>
      </c>
      <c r="F15" s="7" t="s">
        <v>50</v>
      </c>
      <c r="G15" s="14" t="s">
        <v>60</v>
      </c>
      <c r="H15" s="15" t="s">
        <v>61</v>
      </c>
      <c r="I15" s="7" t="s">
        <v>62</v>
      </c>
      <c r="J15" s="8">
        <v>45</v>
      </c>
      <c r="K15" s="6">
        <v>1</v>
      </c>
      <c r="L15" s="7">
        <v>45</v>
      </c>
      <c r="M15" s="6" t="s">
        <v>63</v>
      </c>
      <c r="N15" s="6">
        <v>16</v>
      </c>
      <c r="O15" s="9">
        <v>2</v>
      </c>
      <c r="P15" s="17">
        <v>9</v>
      </c>
      <c r="Q15" s="13">
        <v>0</v>
      </c>
      <c r="R15" s="11">
        <f t="shared" si="0"/>
        <v>0</v>
      </c>
      <c r="S15" s="12">
        <f t="shared" si="1"/>
        <v>25</v>
      </c>
    </row>
    <row r="16" spans="1:19" ht="15.75" thickBot="1" x14ac:dyDescent="0.3">
      <c r="A16" s="14">
        <v>29542518</v>
      </c>
      <c r="B16" s="15" t="s">
        <v>19</v>
      </c>
      <c r="C16" s="15" t="s">
        <v>57</v>
      </c>
      <c r="D16" s="16" t="s">
        <v>64</v>
      </c>
      <c r="E16" s="14" t="s">
        <v>65</v>
      </c>
      <c r="F16" s="15" t="s">
        <v>50</v>
      </c>
      <c r="G16" s="14" t="s">
        <v>60</v>
      </c>
      <c r="H16" s="15"/>
      <c r="I16" s="15" t="s">
        <v>66</v>
      </c>
      <c r="J16" s="16">
        <v>32</v>
      </c>
      <c r="K16" s="14">
        <v>1</v>
      </c>
      <c r="L16" s="15">
        <v>32</v>
      </c>
      <c r="M16" s="6" t="s">
        <v>67</v>
      </c>
      <c r="N16" s="6">
        <v>16</v>
      </c>
      <c r="O16" s="9">
        <v>2</v>
      </c>
      <c r="P16" s="17">
        <v>6</v>
      </c>
      <c r="Q16" s="13">
        <v>0</v>
      </c>
      <c r="R16" s="11">
        <f t="shared" si="0"/>
        <v>0</v>
      </c>
      <c r="S16" s="12">
        <f t="shared" si="1"/>
        <v>12</v>
      </c>
    </row>
    <row r="17" spans="1:19" ht="15.75" thickBot="1" x14ac:dyDescent="0.3">
      <c r="A17" s="6">
        <v>29547912</v>
      </c>
      <c r="B17" s="7" t="s">
        <v>19</v>
      </c>
      <c r="C17" s="7" t="s">
        <v>57</v>
      </c>
      <c r="D17" s="8" t="s">
        <v>68</v>
      </c>
      <c r="E17" s="6" t="s">
        <v>69</v>
      </c>
      <c r="F17" s="7" t="s">
        <v>50</v>
      </c>
      <c r="G17" s="6" t="s">
        <v>60</v>
      </c>
      <c r="H17" s="7"/>
      <c r="I17" s="7" t="s">
        <v>32</v>
      </c>
      <c r="J17" s="8">
        <v>30</v>
      </c>
      <c r="K17" s="6">
        <v>1</v>
      </c>
      <c r="L17" s="7">
        <v>30</v>
      </c>
      <c r="M17" s="6" t="s">
        <v>63</v>
      </c>
      <c r="N17" s="6">
        <v>16</v>
      </c>
      <c r="O17" s="9">
        <v>2</v>
      </c>
      <c r="P17" s="17">
        <v>11</v>
      </c>
      <c r="Q17" s="13">
        <v>1</v>
      </c>
      <c r="R17" s="11">
        <f t="shared" si="0"/>
        <v>1</v>
      </c>
      <c r="S17" s="12">
        <f t="shared" si="1"/>
        <v>20</v>
      </c>
    </row>
    <row r="18" spans="1:19" ht="15.75" thickBot="1" x14ac:dyDescent="0.3">
      <c r="A18" s="6">
        <v>29541112</v>
      </c>
      <c r="B18" s="7" t="s">
        <v>19</v>
      </c>
      <c r="C18" s="7" t="s">
        <v>57</v>
      </c>
      <c r="D18" s="8" t="s">
        <v>70</v>
      </c>
      <c r="E18" s="6" t="s">
        <v>71</v>
      </c>
      <c r="F18" s="7" t="s">
        <v>50</v>
      </c>
      <c r="G18" s="6" t="s">
        <v>60</v>
      </c>
      <c r="H18" s="7" t="s">
        <v>72</v>
      </c>
      <c r="I18" s="7" t="s">
        <v>32</v>
      </c>
      <c r="J18" s="8">
        <v>32</v>
      </c>
      <c r="K18" s="6">
        <v>1</v>
      </c>
      <c r="L18" s="7">
        <v>32</v>
      </c>
      <c r="M18" s="6" t="s">
        <v>67</v>
      </c>
      <c r="N18" s="6">
        <v>16</v>
      </c>
      <c r="O18" s="9">
        <v>2</v>
      </c>
      <c r="P18" s="17">
        <v>13</v>
      </c>
      <c r="Q18" s="13">
        <v>0</v>
      </c>
      <c r="R18" s="11">
        <f t="shared" si="0"/>
        <v>0</v>
      </c>
      <c r="S18" s="12">
        <f t="shared" si="1"/>
        <v>26</v>
      </c>
    </row>
    <row r="19" spans="1:19" ht="15.75" thickBot="1" x14ac:dyDescent="0.3">
      <c r="A19" s="14">
        <v>29544957</v>
      </c>
      <c r="B19" s="15" t="s">
        <v>73</v>
      </c>
      <c r="C19" s="15" t="s">
        <v>50</v>
      </c>
      <c r="D19" s="16" t="s">
        <v>74</v>
      </c>
      <c r="E19" s="14" t="s">
        <v>75</v>
      </c>
      <c r="F19" s="15" t="s">
        <v>50</v>
      </c>
      <c r="G19" s="14" t="s">
        <v>60</v>
      </c>
      <c r="H19" s="15"/>
      <c r="I19" s="15" t="s">
        <v>37</v>
      </c>
      <c r="J19" s="16">
        <v>32</v>
      </c>
      <c r="K19" s="14">
        <v>1</v>
      </c>
      <c r="L19" s="15">
        <v>32</v>
      </c>
      <c r="M19" s="6" t="s">
        <v>76</v>
      </c>
      <c r="N19" s="6">
        <v>15</v>
      </c>
      <c r="O19" s="9">
        <v>2</v>
      </c>
      <c r="P19" s="17">
        <v>13</v>
      </c>
      <c r="Q19" s="13">
        <v>0</v>
      </c>
      <c r="R19" s="11">
        <f t="shared" si="0"/>
        <v>0</v>
      </c>
      <c r="S19" s="12">
        <f t="shared" si="1"/>
        <v>27</v>
      </c>
    </row>
    <row r="20" spans="1:19" ht="15.75" thickBot="1" x14ac:dyDescent="0.3">
      <c r="A20" s="6">
        <v>29540181</v>
      </c>
      <c r="B20" s="7" t="s">
        <v>19</v>
      </c>
      <c r="C20" s="7" t="s">
        <v>57</v>
      </c>
      <c r="D20" s="8" t="s">
        <v>77</v>
      </c>
      <c r="E20" s="6" t="s">
        <v>71</v>
      </c>
      <c r="F20" s="7" t="s">
        <v>50</v>
      </c>
      <c r="G20" s="6" t="s">
        <v>60</v>
      </c>
      <c r="H20" s="7"/>
      <c r="I20" s="7" t="s">
        <v>32</v>
      </c>
      <c r="J20" s="8">
        <v>32</v>
      </c>
      <c r="K20" s="6">
        <v>1</v>
      </c>
      <c r="L20" s="7">
        <v>32</v>
      </c>
      <c r="M20" s="6" t="s">
        <v>67</v>
      </c>
      <c r="N20" s="6">
        <v>16</v>
      </c>
      <c r="O20" s="9">
        <v>2</v>
      </c>
      <c r="P20" s="17">
        <v>3</v>
      </c>
      <c r="Q20" s="13">
        <v>0</v>
      </c>
      <c r="R20" s="11">
        <f t="shared" si="0"/>
        <v>0</v>
      </c>
      <c r="S20" s="12">
        <f t="shared" si="1"/>
        <v>6</v>
      </c>
    </row>
    <row r="21" spans="1:19" ht="15.75" thickBot="1" x14ac:dyDescent="0.3">
      <c r="A21" s="14">
        <v>29540134</v>
      </c>
      <c r="B21" s="15" t="s">
        <v>19</v>
      </c>
      <c r="C21" s="15" t="s">
        <v>50</v>
      </c>
      <c r="D21" s="16" t="s">
        <v>78</v>
      </c>
      <c r="E21" s="14" t="s">
        <v>34</v>
      </c>
      <c r="F21" s="15" t="s">
        <v>50</v>
      </c>
      <c r="G21" s="14" t="s">
        <v>35</v>
      </c>
      <c r="H21" s="15" t="s">
        <v>79</v>
      </c>
      <c r="I21" s="15" t="s">
        <v>37</v>
      </c>
      <c r="J21" s="16">
        <v>25</v>
      </c>
      <c r="K21" s="14">
        <v>1</v>
      </c>
      <c r="L21" s="15">
        <v>25</v>
      </c>
      <c r="M21" s="6" t="s">
        <v>76</v>
      </c>
      <c r="N21" s="6">
        <v>15</v>
      </c>
      <c r="O21" s="9">
        <v>3</v>
      </c>
      <c r="P21" s="17">
        <v>1</v>
      </c>
      <c r="Q21" s="13">
        <v>1</v>
      </c>
      <c r="R21" s="11">
        <f t="shared" si="0"/>
        <v>3</v>
      </c>
      <c r="S21" s="12">
        <f t="shared" si="1"/>
        <v>1</v>
      </c>
    </row>
    <row r="22" spans="1:19" ht="15.75" thickBot="1" x14ac:dyDescent="0.3">
      <c r="A22" s="6">
        <v>29540140</v>
      </c>
      <c r="B22" s="7" t="s">
        <v>19</v>
      </c>
      <c r="C22" s="7" t="s">
        <v>50</v>
      </c>
      <c r="D22" s="8" t="s">
        <v>80</v>
      </c>
      <c r="E22" s="6" t="s">
        <v>34</v>
      </c>
      <c r="F22" s="7" t="s">
        <v>50</v>
      </c>
      <c r="G22" s="6" t="s">
        <v>35</v>
      </c>
      <c r="H22" s="7"/>
      <c r="I22" s="7" t="s">
        <v>37</v>
      </c>
      <c r="J22" s="8">
        <v>25</v>
      </c>
      <c r="K22" s="6">
        <v>1</v>
      </c>
      <c r="L22" s="7">
        <v>25</v>
      </c>
      <c r="M22" s="6" t="s">
        <v>76</v>
      </c>
      <c r="N22" s="6">
        <v>15</v>
      </c>
      <c r="O22" s="9">
        <v>3</v>
      </c>
      <c r="P22" s="17">
        <v>6</v>
      </c>
      <c r="Q22" s="13">
        <v>0</v>
      </c>
      <c r="R22" s="11">
        <f t="shared" si="0"/>
        <v>0</v>
      </c>
      <c r="S22" s="12">
        <f t="shared" si="1"/>
        <v>10</v>
      </c>
    </row>
    <row r="23" spans="1:19" ht="15.75" thickBot="1" x14ac:dyDescent="0.3">
      <c r="A23" s="14">
        <v>29555865</v>
      </c>
      <c r="B23" s="15" t="s">
        <v>19</v>
      </c>
      <c r="C23" s="15" t="s">
        <v>50</v>
      </c>
      <c r="D23" s="16" t="s">
        <v>81</v>
      </c>
      <c r="E23" s="14" t="s">
        <v>69</v>
      </c>
      <c r="F23" s="15" t="s">
        <v>50</v>
      </c>
      <c r="G23" s="14" t="s">
        <v>60</v>
      </c>
      <c r="H23" s="15"/>
      <c r="I23" s="15" t="s">
        <v>32</v>
      </c>
      <c r="J23" s="16">
        <v>20</v>
      </c>
      <c r="K23" s="14">
        <v>1</v>
      </c>
      <c r="L23" s="15">
        <v>20</v>
      </c>
      <c r="M23" s="6" t="s">
        <v>82</v>
      </c>
      <c r="N23" s="6">
        <v>5</v>
      </c>
      <c r="O23" s="9">
        <v>1</v>
      </c>
      <c r="P23" s="17">
        <v>7</v>
      </c>
      <c r="Q23" s="13">
        <v>1</v>
      </c>
      <c r="R23" s="11">
        <f t="shared" si="0"/>
        <v>1</v>
      </c>
      <c r="S23" s="12">
        <f t="shared" si="1"/>
        <v>28</v>
      </c>
    </row>
    <row r="24" spans="1:19" ht="15.75" thickBot="1" x14ac:dyDescent="0.3">
      <c r="A24" s="14">
        <v>29549766</v>
      </c>
      <c r="B24" s="15" t="s">
        <v>19</v>
      </c>
      <c r="C24" s="15" t="s">
        <v>50</v>
      </c>
      <c r="D24" s="16" t="s">
        <v>83</v>
      </c>
      <c r="E24" s="14" t="s">
        <v>29</v>
      </c>
      <c r="F24" s="15" t="s">
        <v>50</v>
      </c>
      <c r="G24" s="14" t="s">
        <v>30</v>
      </c>
      <c r="H24" s="15"/>
      <c r="I24" s="15" t="s">
        <v>32</v>
      </c>
      <c r="J24" s="16">
        <v>96</v>
      </c>
      <c r="K24" s="14">
        <v>1</v>
      </c>
      <c r="L24" s="15">
        <v>96</v>
      </c>
      <c r="M24" s="6" t="s">
        <v>63</v>
      </c>
      <c r="N24" s="6">
        <v>14</v>
      </c>
      <c r="O24" s="9">
        <v>1</v>
      </c>
      <c r="P24" s="17">
        <v>13</v>
      </c>
      <c r="Q24" s="13">
        <v>0</v>
      </c>
      <c r="R24" s="11">
        <f t="shared" si="0"/>
        <v>0</v>
      </c>
      <c r="S24" s="12">
        <f t="shared" si="1"/>
        <v>89</v>
      </c>
    </row>
    <row r="25" spans="1:19" ht="15.75" thickBot="1" x14ac:dyDescent="0.3">
      <c r="A25" s="6">
        <v>29530484</v>
      </c>
      <c r="B25" s="7" t="s">
        <v>19</v>
      </c>
      <c r="C25" s="7" t="s">
        <v>50</v>
      </c>
      <c r="D25" s="8" t="s">
        <v>84</v>
      </c>
      <c r="E25" s="6" t="s">
        <v>75</v>
      </c>
      <c r="F25" s="7" t="s">
        <v>50</v>
      </c>
      <c r="G25" s="6" t="s">
        <v>60</v>
      </c>
      <c r="H25" s="7"/>
      <c r="I25" s="7" t="s">
        <v>37</v>
      </c>
      <c r="J25" s="8">
        <v>12</v>
      </c>
      <c r="K25" s="6">
        <v>1</v>
      </c>
      <c r="L25" s="7">
        <v>12</v>
      </c>
      <c r="M25" s="6" t="s">
        <v>85</v>
      </c>
      <c r="N25" s="6">
        <v>14</v>
      </c>
      <c r="O25" s="9">
        <v>3</v>
      </c>
      <c r="P25" s="17">
        <v>6</v>
      </c>
      <c r="Q25" s="13">
        <v>2</v>
      </c>
      <c r="R25" s="11">
        <f>IF(O25-P25&lt;0,0,O25-P25)+Q25</f>
        <v>2</v>
      </c>
      <c r="S25" s="12">
        <f t="shared" si="1"/>
        <v>5</v>
      </c>
    </row>
    <row r="26" spans="1:19" ht="15.75" thickBot="1" x14ac:dyDescent="0.3">
      <c r="A26" s="6">
        <v>29515650</v>
      </c>
      <c r="B26" s="7" t="s">
        <v>19</v>
      </c>
      <c r="C26" s="7" t="s">
        <v>50</v>
      </c>
      <c r="D26" s="8" t="s">
        <v>86</v>
      </c>
      <c r="E26" s="6" t="s">
        <v>29</v>
      </c>
      <c r="F26" s="7" t="s">
        <v>50</v>
      </c>
      <c r="G26" s="6" t="s">
        <v>30</v>
      </c>
      <c r="H26" s="7"/>
      <c r="I26" s="7" t="s">
        <v>32</v>
      </c>
      <c r="J26" s="8">
        <v>100</v>
      </c>
      <c r="K26" s="6">
        <v>1</v>
      </c>
      <c r="L26" s="7">
        <v>100</v>
      </c>
      <c r="M26" s="6">
        <v>112</v>
      </c>
      <c r="N26" s="6">
        <v>14</v>
      </c>
      <c r="O26" s="9">
        <v>1</v>
      </c>
      <c r="P26" s="17">
        <v>2</v>
      </c>
      <c r="Q26" s="13">
        <v>10</v>
      </c>
      <c r="R26" s="11">
        <f t="shared" si="0"/>
        <v>10</v>
      </c>
      <c r="S26" s="12">
        <f t="shared" si="1"/>
        <v>14</v>
      </c>
    </row>
    <row r="27" spans="1:19" ht="15.75" thickBot="1" x14ac:dyDescent="0.3">
      <c r="A27" s="14">
        <v>29534507</v>
      </c>
      <c r="B27" s="15" t="s">
        <v>19</v>
      </c>
      <c r="C27" s="15" t="s">
        <v>27</v>
      </c>
      <c r="D27" s="16" t="s">
        <v>87</v>
      </c>
      <c r="E27" s="14" t="s">
        <v>88</v>
      </c>
      <c r="F27" s="15" t="s">
        <v>23</v>
      </c>
      <c r="G27" s="14" t="s">
        <v>60</v>
      </c>
      <c r="H27" s="15"/>
      <c r="I27" s="15" t="s">
        <v>32</v>
      </c>
      <c r="J27" s="16">
        <v>80</v>
      </c>
      <c r="K27" s="14">
        <v>1</v>
      </c>
      <c r="L27" s="15">
        <v>80</v>
      </c>
      <c r="M27" s="6">
        <v>96</v>
      </c>
      <c r="N27" s="6">
        <v>13</v>
      </c>
      <c r="O27" s="9">
        <f t="shared" ref="O27:O36" si="3">ROUNDUP((M27*2)/J27,0)</f>
        <v>3</v>
      </c>
      <c r="P27" s="10">
        <v>0</v>
      </c>
      <c r="Q27" s="13">
        <v>5</v>
      </c>
      <c r="R27" s="11">
        <f t="shared" si="0"/>
        <v>8</v>
      </c>
      <c r="S27" s="12">
        <f t="shared" si="1"/>
        <v>0</v>
      </c>
    </row>
    <row r="28" spans="1:19" ht="15.75" thickBot="1" x14ac:dyDescent="0.3">
      <c r="A28" s="6">
        <v>29556983</v>
      </c>
      <c r="B28" s="7" t="s">
        <v>19</v>
      </c>
      <c r="C28" s="7" t="s">
        <v>20</v>
      </c>
      <c r="D28" s="8" t="s">
        <v>89</v>
      </c>
      <c r="E28" s="6" t="s">
        <v>90</v>
      </c>
      <c r="F28" s="7" t="s">
        <v>23</v>
      </c>
      <c r="G28" s="6" t="s">
        <v>24</v>
      </c>
      <c r="H28" s="7" t="s">
        <v>91</v>
      </c>
      <c r="I28" s="7" t="s">
        <v>32</v>
      </c>
      <c r="J28" s="8">
        <v>1980</v>
      </c>
      <c r="K28" s="6">
        <v>6</v>
      </c>
      <c r="L28" s="7">
        <v>330</v>
      </c>
      <c r="M28" s="6" t="s">
        <v>92</v>
      </c>
      <c r="N28" s="6">
        <v>73</v>
      </c>
      <c r="O28" s="9">
        <f t="shared" si="3"/>
        <v>1</v>
      </c>
      <c r="P28" s="10">
        <v>0</v>
      </c>
      <c r="Q28" s="13">
        <v>1</v>
      </c>
      <c r="R28" s="11">
        <f t="shared" si="0"/>
        <v>2</v>
      </c>
      <c r="S28" s="12">
        <f t="shared" si="1"/>
        <v>0</v>
      </c>
    </row>
    <row r="29" spans="1:19" ht="15.75" thickBot="1" x14ac:dyDescent="0.3">
      <c r="A29" s="14">
        <v>29556986</v>
      </c>
      <c r="B29" s="15" t="s">
        <v>19</v>
      </c>
      <c r="C29" s="15" t="s">
        <v>20</v>
      </c>
      <c r="D29" s="16" t="s">
        <v>93</v>
      </c>
      <c r="E29" s="14" t="s">
        <v>90</v>
      </c>
      <c r="F29" s="15" t="s">
        <v>23</v>
      </c>
      <c r="G29" s="14" t="s">
        <v>24</v>
      </c>
      <c r="H29" s="15" t="s">
        <v>94</v>
      </c>
      <c r="I29" s="15" t="s">
        <v>32</v>
      </c>
      <c r="J29" s="16">
        <v>432</v>
      </c>
      <c r="K29" s="14">
        <v>4</v>
      </c>
      <c r="L29" s="15">
        <v>108</v>
      </c>
      <c r="M29" s="6" t="s">
        <v>95</v>
      </c>
      <c r="N29" s="6">
        <v>58</v>
      </c>
      <c r="O29" s="9">
        <f t="shared" si="3"/>
        <v>2</v>
      </c>
      <c r="P29" s="10">
        <v>4</v>
      </c>
      <c r="Q29" s="13">
        <v>0</v>
      </c>
      <c r="R29" s="11">
        <f t="shared" si="0"/>
        <v>0</v>
      </c>
      <c r="S29" s="12">
        <f t="shared" si="1"/>
        <v>7</v>
      </c>
    </row>
    <row r="30" spans="1:19" ht="15.75" thickBot="1" x14ac:dyDescent="0.3">
      <c r="A30" s="6">
        <v>29556987</v>
      </c>
      <c r="B30" s="7" t="s">
        <v>19</v>
      </c>
      <c r="C30" s="7" t="s">
        <v>20</v>
      </c>
      <c r="D30" s="8" t="s">
        <v>96</v>
      </c>
      <c r="E30" s="6" t="s">
        <v>90</v>
      </c>
      <c r="F30" s="7" t="s">
        <v>23</v>
      </c>
      <c r="G30" s="6" t="s">
        <v>24</v>
      </c>
      <c r="H30" s="7" t="s">
        <v>94</v>
      </c>
      <c r="I30" s="7" t="s">
        <v>32</v>
      </c>
      <c r="J30" s="8">
        <v>288</v>
      </c>
      <c r="K30" s="6">
        <v>4</v>
      </c>
      <c r="L30" s="7">
        <v>72</v>
      </c>
      <c r="M30" s="6" t="s">
        <v>97</v>
      </c>
      <c r="N30" s="6">
        <v>46</v>
      </c>
      <c r="O30" s="9">
        <f t="shared" si="3"/>
        <v>3</v>
      </c>
      <c r="P30" s="10">
        <v>3</v>
      </c>
      <c r="Q30" s="13">
        <v>1</v>
      </c>
      <c r="R30" s="11">
        <f t="shared" si="0"/>
        <v>1</v>
      </c>
      <c r="S30" s="12">
        <f t="shared" si="1"/>
        <v>4</v>
      </c>
    </row>
    <row r="31" spans="1:19" ht="15.75" thickBot="1" x14ac:dyDescent="0.3">
      <c r="A31" s="14">
        <v>29556988</v>
      </c>
      <c r="B31" s="15" t="s">
        <v>19</v>
      </c>
      <c r="C31" s="15" t="s">
        <v>20</v>
      </c>
      <c r="D31" s="16" t="s">
        <v>98</v>
      </c>
      <c r="E31" s="14" t="s">
        <v>90</v>
      </c>
      <c r="F31" s="15" t="s">
        <v>23</v>
      </c>
      <c r="G31" s="14" t="s">
        <v>24</v>
      </c>
      <c r="H31" s="15" t="s">
        <v>99</v>
      </c>
      <c r="I31" s="15" t="s">
        <v>32</v>
      </c>
      <c r="J31" s="16">
        <v>576</v>
      </c>
      <c r="K31" s="14">
        <v>6</v>
      </c>
      <c r="L31" s="15">
        <v>96</v>
      </c>
      <c r="M31" s="6" t="s">
        <v>100</v>
      </c>
      <c r="N31" s="6">
        <v>53</v>
      </c>
      <c r="O31" s="9">
        <f t="shared" si="3"/>
        <v>2</v>
      </c>
      <c r="P31" s="10">
        <v>1</v>
      </c>
      <c r="Q31" s="13">
        <v>0</v>
      </c>
      <c r="R31" s="11">
        <f t="shared" si="0"/>
        <v>1</v>
      </c>
      <c r="S31" s="12">
        <f t="shared" si="1"/>
        <v>1</v>
      </c>
    </row>
    <row r="32" spans="1:19" ht="15.75" thickBot="1" x14ac:dyDescent="0.3">
      <c r="A32" s="6">
        <v>29556989</v>
      </c>
      <c r="B32" s="7" t="s">
        <v>19</v>
      </c>
      <c r="C32" s="7" t="s">
        <v>20</v>
      </c>
      <c r="D32" s="8" t="s">
        <v>101</v>
      </c>
      <c r="E32" s="6" t="s">
        <v>90</v>
      </c>
      <c r="F32" s="7" t="s">
        <v>23</v>
      </c>
      <c r="G32" s="6" t="s">
        <v>24</v>
      </c>
      <c r="H32" s="7" t="s">
        <v>102</v>
      </c>
      <c r="I32" s="7" t="s">
        <v>32</v>
      </c>
      <c r="J32" s="8">
        <v>168</v>
      </c>
      <c r="K32" s="6">
        <v>1</v>
      </c>
      <c r="L32" s="7">
        <v>210</v>
      </c>
      <c r="M32" s="6" t="s">
        <v>103</v>
      </c>
      <c r="N32" s="6">
        <v>65</v>
      </c>
      <c r="O32" s="9">
        <v>3</v>
      </c>
      <c r="P32" s="10">
        <v>1</v>
      </c>
      <c r="Q32" s="13">
        <v>0</v>
      </c>
      <c r="R32" s="11">
        <f t="shared" si="0"/>
        <v>2</v>
      </c>
      <c r="S32" s="12">
        <f t="shared" si="1"/>
        <v>3</v>
      </c>
    </row>
    <row r="33" spans="1:19" ht="15.75" thickBot="1" x14ac:dyDescent="0.3">
      <c r="A33" s="14">
        <v>29556990</v>
      </c>
      <c r="B33" s="15" t="s">
        <v>19</v>
      </c>
      <c r="C33" s="15" t="s">
        <v>20</v>
      </c>
      <c r="D33" s="16" t="s">
        <v>104</v>
      </c>
      <c r="E33" s="14" t="s">
        <v>90</v>
      </c>
      <c r="F33" s="15" t="s">
        <v>23</v>
      </c>
      <c r="G33" s="14" t="s">
        <v>24</v>
      </c>
      <c r="H33" s="15" t="s">
        <v>102</v>
      </c>
      <c r="I33" s="15" t="s">
        <v>32</v>
      </c>
      <c r="J33" s="16">
        <v>154</v>
      </c>
      <c r="K33" s="14">
        <v>1</v>
      </c>
      <c r="L33" s="15">
        <v>154</v>
      </c>
      <c r="M33" s="6" t="s">
        <v>105</v>
      </c>
      <c r="N33" s="6">
        <v>44</v>
      </c>
      <c r="O33" s="9">
        <v>3</v>
      </c>
      <c r="P33" s="10">
        <v>3</v>
      </c>
      <c r="Q33" s="13">
        <v>0</v>
      </c>
      <c r="R33" s="11">
        <f t="shared" si="0"/>
        <v>0</v>
      </c>
      <c r="S33" s="12">
        <f t="shared" si="1"/>
        <v>10</v>
      </c>
    </row>
    <row r="34" spans="1:19" ht="15.75" thickBot="1" x14ac:dyDescent="0.3">
      <c r="A34" s="6">
        <v>29556991</v>
      </c>
      <c r="B34" s="7" t="s">
        <v>19</v>
      </c>
      <c r="C34" s="7" t="s">
        <v>20</v>
      </c>
      <c r="D34" s="8" t="s">
        <v>106</v>
      </c>
      <c r="E34" s="6" t="s">
        <v>90</v>
      </c>
      <c r="F34" s="7" t="s">
        <v>23</v>
      </c>
      <c r="G34" s="6" t="s">
        <v>24</v>
      </c>
      <c r="H34" s="7" t="s">
        <v>102</v>
      </c>
      <c r="I34" s="7" t="s">
        <v>32</v>
      </c>
      <c r="J34" s="8">
        <v>196</v>
      </c>
      <c r="K34" s="6">
        <v>1</v>
      </c>
      <c r="L34" s="7">
        <v>196</v>
      </c>
      <c r="M34" s="6" t="s">
        <v>107</v>
      </c>
      <c r="N34" s="6">
        <v>53</v>
      </c>
      <c r="O34" s="9">
        <f t="shared" si="3"/>
        <v>3</v>
      </c>
      <c r="P34" s="10">
        <v>1</v>
      </c>
      <c r="Q34" s="13">
        <v>0</v>
      </c>
      <c r="R34" s="11">
        <f t="shared" si="0"/>
        <v>2</v>
      </c>
      <c r="S34" s="12">
        <f t="shared" si="1"/>
        <v>3</v>
      </c>
    </row>
    <row r="35" spans="1:19" ht="15.75" thickBot="1" x14ac:dyDescent="0.3">
      <c r="A35" s="14">
        <v>29556992</v>
      </c>
      <c r="B35" s="15" t="s">
        <v>19</v>
      </c>
      <c r="C35" s="15" t="s">
        <v>20</v>
      </c>
      <c r="D35" s="16" t="s">
        <v>108</v>
      </c>
      <c r="E35" s="14" t="s">
        <v>90</v>
      </c>
      <c r="F35" s="15" t="s">
        <v>23</v>
      </c>
      <c r="G35" s="14" t="s">
        <v>24</v>
      </c>
      <c r="H35" s="15" t="s">
        <v>102</v>
      </c>
      <c r="I35" s="15" t="s">
        <v>32</v>
      </c>
      <c r="J35" s="16">
        <v>144</v>
      </c>
      <c r="K35" s="14">
        <v>1</v>
      </c>
      <c r="L35" s="15">
        <v>144</v>
      </c>
      <c r="M35" s="6" t="s">
        <v>109</v>
      </c>
      <c r="N35" s="6">
        <v>42</v>
      </c>
      <c r="O35" s="9">
        <v>3</v>
      </c>
      <c r="P35" s="10">
        <v>3</v>
      </c>
      <c r="Q35" s="13">
        <v>0</v>
      </c>
      <c r="R35" s="11">
        <f t="shared" si="0"/>
        <v>0</v>
      </c>
      <c r="S35" s="12">
        <f t="shared" si="1"/>
        <v>10</v>
      </c>
    </row>
    <row r="36" spans="1:19" ht="15.75" thickBot="1" x14ac:dyDescent="0.3">
      <c r="A36" s="6">
        <v>29556993</v>
      </c>
      <c r="B36" s="7" t="s">
        <v>19</v>
      </c>
      <c r="C36" s="7" t="s">
        <v>20</v>
      </c>
      <c r="D36" s="8" t="s">
        <v>110</v>
      </c>
      <c r="E36" s="6" t="s">
        <v>90</v>
      </c>
      <c r="F36" s="7" t="s">
        <v>23</v>
      </c>
      <c r="G36" s="6" t="s">
        <v>24</v>
      </c>
      <c r="H36" s="7" t="s">
        <v>99</v>
      </c>
      <c r="I36" s="7" t="s">
        <v>32</v>
      </c>
      <c r="J36" s="8">
        <v>98</v>
      </c>
      <c r="K36" s="6">
        <v>1</v>
      </c>
      <c r="L36" s="7">
        <v>98</v>
      </c>
      <c r="M36" s="6" t="s">
        <v>111</v>
      </c>
      <c r="N36" s="6">
        <v>17</v>
      </c>
      <c r="O36" s="9">
        <f t="shared" si="3"/>
        <v>3</v>
      </c>
      <c r="P36" s="10">
        <v>2</v>
      </c>
      <c r="Q36" s="13">
        <v>0</v>
      </c>
      <c r="R36" s="11">
        <f t="shared" si="0"/>
        <v>1</v>
      </c>
      <c r="S36" s="12">
        <f t="shared" si="1"/>
        <v>11</v>
      </c>
    </row>
  </sheetData>
  <protectedRanges>
    <protectedRange sqref="P12:Q14 P27:Q36 P2:Q10" name="Input_1"/>
    <protectedRange sqref="P11 P15:P26" name="Input_1_1"/>
    <protectedRange sqref="Q11 Q15:Q26" name="Input_1_4"/>
  </protectedRanges>
  <conditionalFormatting sqref="R2:R36">
    <cfRule type="cellIs" dxfId="4" priority="5" operator="greaterThan">
      <formula>0</formula>
    </cfRule>
  </conditionalFormatting>
  <conditionalFormatting sqref="S2:S36">
    <cfRule type="cellIs" dxfId="3" priority="1" operator="greaterThanOrEqual">
      <formula>8</formula>
    </cfRule>
    <cfRule type="cellIs" dxfId="2" priority="2" operator="lessThanOrEqual">
      <formula>4</formula>
    </cfRule>
    <cfRule type="cellIs" dxfId="1" priority="3" operator="lessThanOrEqual">
      <formula>6</formula>
    </cfRule>
    <cfRule type="cellIs" dxfId="0" priority="4" operator="lessThanOrEqual">
      <formula>8</formula>
    </cfRule>
  </conditionalFormatting>
  <pageMargins left="0.7" right="0.7" top="0.75" bottom="0.75" header="0.3" footer="0.3"/>
  <headerFooter>
    <oddFooter>&amp;L_x000D_&amp;1#&amp;"Aptos"&amp;12&amp;KADD8E6 Allison Transmission: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Allison Transmission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Altman</dc:creator>
  <cp:keywords/>
  <dc:description/>
  <cp:lastModifiedBy>Mark Altman</cp:lastModifiedBy>
  <cp:revision/>
  <dcterms:created xsi:type="dcterms:W3CDTF">2026-07-30T11:32:13Z</dcterms:created>
  <dcterms:modified xsi:type="dcterms:W3CDTF">2026-07-31T11:25:34Z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ad9882-1efb-4a31-83c1-fd283b4d53a2_Enabled">
    <vt:lpwstr>true</vt:lpwstr>
  </property>
  <property fmtid="{D5CDD505-2E9C-101B-9397-08002B2CF9AE}" pid="3" name="MSIP_Label_74ad9882-1efb-4a31-83c1-fd283b4d53a2_SetDate">
    <vt:lpwstr>2026-07-30T11:32:19Z</vt:lpwstr>
  </property>
  <property fmtid="{D5CDD505-2E9C-101B-9397-08002B2CF9AE}" pid="4" name="MSIP_Label_74ad9882-1efb-4a31-83c1-fd283b4d53a2_Method">
    <vt:lpwstr>Standard</vt:lpwstr>
  </property>
  <property fmtid="{D5CDD505-2E9C-101B-9397-08002B2CF9AE}" pid="5" name="MSIP_Label_74ad9882-1efb-4a31-83c1-fd283b4d53a2_Name">
    <vt:lpwstr>Business Use Only</vt:lpwstr>
  </property>
  <property fmtid="{D5CDD505-2E9C-101B-9397-08002B2CF9AE}" pid="6" name="MSIP_Label_74ad9882-1efb-4a31-83c1-fd283b4d53a2_SiteId">
    <vt:lpwstr>6495c0bc-c8c1-4f74-914f-eeeedc1d07df</vt:lpwstr>
  </property>
  <property fmtid="{D5CDD505-2E9C-101B-9397-08002B2CF9AE}" pid="7" name="MSIP_Label_74ad9882-1efb-4a31-83c1-fd283b4d53a2_ActionId">
    <vt:lpwstr>372b65fd-6203-443c-acd4-13bbaca79fe5</vt:lpwstr>
  </property>
  <property fmtid="{D5CDD505-2E9C-101B-9397-08002B2CF9AE}" pid="8" name="MSIP_Label_74ad9882-1efb-4a31-83c1-fd283b4d53a2_ContentBits">
    <vt:lpwstr>2</vt:lpwstr>
  </property>
  <property fmtid="{D5CDD505-2E9C-101B-9397-08002B2CF9AE}" pid="9" name="MSIP_Label_74ad9882-1efb-4a31-83c1-fd283b4d53a2_Tag">
    <vt:lpwstr>10, 3, 0, 1</vt:lpwstr>
  </property>
</Properties>
</file>